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Portfolio" sheetId="1" state="visible" r:id="rId1"/>
    <sheet name="Quick Wins" sheetId="2" state="visible" r:id="rId2"/>
    <sheet name="Build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4"/>
    </font>
    <font>
      <sz val="14"/>
    </font>
    <font>
      <i val="1"/>
      <sz val="12"/>
    </font>
    <font>
      <b val="1"/>
      <color rgb="00FFFFFF"/>
      <sz val="11"/>
    </font>
    <font>
      <b val="1"/>
      <color rgb="00FFFFFF"/>
      <sz val="12"/>
    </font>
    <font>
      <b val="1"/>
      <color rgb="00FFFFFF"/>
      <sz val="14"/>
    </font>
    <font>
      <b val="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8B5CF6"/>
        <bgColor rgb="008B5CF6"/>
      </patternFill>
    </fill>
    <fill>
      <patternFill patternType="solid">
        <fgColor rgb="00F3E8FF"/>
        <bgColor rgb="00F3E8FF"/>
      </patternFill>
    </fill>
    <fill>
      <patternFill patternType="solid">
        <fgColor rgb="00DBEAFE"/>
        <bgColor rgb="00DBEAFE"/>
      </patternFill>
    </fill>
    <fill>
      <patternFill patternType="solid">
        <fgColor rgb="00374151"/>
        <bgColor rgb="00374151"/>
      </patternFill>
    </fill>
    <fill>
      <patternFill patternType="solid">
        <fgColor rgb="00A78BFA"/>
        <bgColor rgb="00A78BFA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FB923C"/>
        <bgColor rgb="00FB923C"/>
      </patternFill>
    </fill>
    <fill>
      <patternFill patternType="solid">
        <fgColor rgb="0022D3EE"/>
        <bgColor rgb="0022D3EE"/>
      </patternFill>
    </fill>
    <fill>
      <patternFill patternType="solid">
        <fgColor rgb="00F472B6"/>
        <bgColor rgb="00F472B6"/>
      </patternFill>
    </fill>
    <fill>
      <patternFill patternType="solid">
        <fgColor rgb="00FBBF24"/>
        <bgColor rgb="00FBBF24"/>
      </patternFill>
    </fill>
    <fill>
      <patternFill patternType="solid">
        <fgColor rgb="00EF4444"/>
        <bgColor rgb="00EF4444"/>
      </patternFill>
    </fill>
    <fill>
      <patternFill patternType="solid">
        <fgColor rgb="006366F1"/>
        <bgColor rgb="006366F1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7" borderId="0" applyAlignment="1" pivotButton="0" quotePrefix="0" xfId="0">
      <alignment wrapText="1"/>
    </xf>
    <xf numFmtId="0" fontId="8" fillId="10" borderId="0" applyAlignment="1" pivotButton="0" quotePrefix="0" xfId="0">
      <alignment wrapText="1"/>
    </xf>
    <xf numFmtId="0" fontId="8" fillId="8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45" customWidth="1" min="4" max="4"/>
    <col width="15" customWidth="1" min="5" max="5"/>
    <col width="15" customWidth="1" min="6" max="6"/>
    <col width="15" customWidth="1" min="7" max="7"/>
    <col width="13" customWidth="1" min="8" max="8"/>
    <col width="32" customWidth="1" min="9" max="9"/>
    <col width="10" customWidth="1" min="10" max="10"/>
    <col width="18" customWidth="1" min="12" max="12"/>
    <col width="25" customWidth="1" min="13" max="13"/>
    <col width="15" customWidth="1" min="14" max="14"/>
  </cols>
  <sheetData>
    <row r="1" ht="72" customHeight="1">
      <c r="A1" s="1" t="inlineStr">
        <is>
          <t>🤖 MADHAVAN'S AI AGENT FORCE
Intelligent Agents to 10x Your
Executive Leverage</t>
        </is>
      </c>
      <c r="L1" s="2" t="inlineStr">
        <is>
          <t>📊 SUMMARY DASHBOARD</t>
        </is>
      </c>
    </row>
    <row r="2" ht="60" customHeight="1">
      <c r="A2" s="3" t="inlineStr">
        <is>
          <t>Total Time Saved: 67 hours/week
Your Current Week: 80 hours →
Future Week: 40 hours strategic</t>
        </is>
      </c>
    </row>
    <row r="3">
      <c r="L3" t="inlineStr">
        <is>
          <t>Total Agents:</t>
        </is>
      </c>
      <c r="M3">
        <f>COUNTA(C7:C63)</f>
        <v/>
      </c>
    </row>
    <row r="4">
      <c r="A4" s="4" t="inlineStr">
        <is>
          <t>INSTRUCTIONS: Rate each agent 1-5 (1=Low Priority, 5=Critical)
We'll build your top 5 first</t>
        </is>
      </c>
    </row>
    <row r="5">
      <c r="L5" t="inlineStr">
        <is>
          <t>Rated by You:</t>
        </is>
      </c>
      <c r="M5">
        <f>COUNTA(A7:A63)</f>
        <v/>
      </c>
    </row>
    <row r="6">
      <c r="A6" s="5" t="inlineStr">
        <is>
          <t>Priority</t>
        </is>
      </c>
      <c r="B6" s="5" t="inlineStr">
        <is>
          <t>Area</t>
        </is>
      </c>
      <c r="C6" s="5" t="inlineStr">
        <is>
          <t>Agent Name</t>
        </is>
      </c>
      <c r="D6" s="5" t="inlineStr">
        <is>
          <t>What It Does</t>
        </is>
      </c>
      <c r="E6" s="5" t="inlineStr">
        <is>
          <t>Time Saved/Week</t>
        </is>
      </c>
      <c r="F6" s="5" t="inlineStr">
        <is>
          <t>Business Impact</t>
        </is>
      </c>
      <c r="G6" s="5" t="inlineStr">
        <is>
          <t>Build Complexity</t>
        </is>
      </c>
      <c r="H6" s="5" t="inlineStr">
        <is>
          <t>Status</t>
        </is>
      </c>
      <c r="I6" s="5" t="inlineStr">
        <is>
          <t>Your Notes</t>
        </is>
      </c>
      <c r="J6" s="5" t="inlineStr">
        <is>
          <t>Quick Win?</t>
        </is>
      </c>
      <c r="L6" t="inlineStr">
        <is>
          <t>Avg Priority:</t>
        </is>
      </c>
      <c r="M6">
        <f>AVERAGE(A7:A63)</f>
        <v/>
      </c>
    </row>
    <row r="7">
      <c r="A7" s="6" t="inlineStr">
        <is>
          <t>🎯 STRATEGIC INTELLIGENCE</t>
        </is>
      </c>
    </row>
    <row r="8">
      <c r="A8" s="7" t="inlineStr"/>
      <c r="B8" t="inlineStr">
        <is>
          <t>Strategic Intelligence</t>
        </is>
      </c>
      <c r="C8" t="inlineStr">
        <is>
          <t>Competitive Intelligence Agent</t>
        </is>
      </c>
      <c r="D8" s="8" t="inlineStr">
        <is>
          <t>Monitors 20+ competitors daily - tracks publications, patents, clinical trials. Alerts on significant developments.</t>
        </is>
      </c>
      <c r="E8" s="7" t="inlineStr">
        <is>
          <t>3 hours</t>
        </is>
      </c>
      <c r="F8" s="7" t="inlineStr">
        <is>
          <t>HIGH</t>
        </is>
      </c>
      <c r="G8" s="7" t="inlineStr">
        <is>
          <t>Medium</t>
        </is>
      </c>
      <c r="H8" s="7" t="inlineStr">
        <is>
          <t>Not Started</t>
        </is>
      </c>
      <c r="I8" s="8" t="inlineStr"/>
      <c r="J8" s="7" t="b">
        <v>1</v>
      </c>
      <c r="L8" s="9" t="inlineStr">
        <is>
          <t>TIME SAVINGS:</t>
        </is>
      </c>
    </row>
    <row r="9">
      <c r="A9" s="7" t="inlineStr"/>
      <c r="B9" t="inlineStr">
        <is>
          <t>Strategic Intelligence</t>
        </is>
      </c>
      <c r="C9" t="inlineStr">
        <is>
          <t>Research Trend Scanner</t>
        </is>
      </c>
      <c r="D9" s="8" t="inlineStr">
        <is>
          <t>Identifies emerging cancer research trends 6-12 months before mainstream through citation velocity analysis.</t>
        </is>
      </c>
      <c r="E9" s="7" t="inlineStr">
        <is>
          <t>2 hours</t>
        </is>
      </c>
      <c r="F9" s="7" t="inlineStr">
        <is>
          <t>HIGH</t>
        </is>
      </c>
      <c r="G9" s="7" t="inlineStr">
        <is>
          <t>High</t>
        </is>
      </c>
      <c r="H9" s="7" t="inlineStr">
        <is>
          <t>Not Started</t>
        </is>
      </c>
      <c r="I9" s="8" t="inlineStr"/>
      <c r="J9" s="7" t="b">
        <v>1</v>
      </c>
      <c r="L9" t="inlineStr">
        <is>
          <t>Quick Wins:</t>
        </is>
      </c>
      <c r="M9" t="inlineStr">
        <is>
          <t>25 hrs/week</t>
        </is>
      </c>
    </row>
    <row r="10">
      <c r="A10" s="7" t="inlineStr"/>
      <c r="B10" t="inlineStr">
        <is>
          <t>Strategic Intelligence</t>
        </is>
      </c>
      <c r="C10" t="inlineStr">
        <is>
          <t>IP Landscape Monitor</t>
        </is>
      </c>
      <c r="D10" s="8" t="inlineStr">
        <is>
          <t>Tracks patent landscape, identifies freedom-to-operate risks and white space opportunities.</t>
        </is>
      </c>
      <c r="E10" s="7" t="inlineStr">
        <is>
          <t>2 hours</t>
        </is>
      </c>
      <c r="F10" s="7" t="inlineStr">
        <is>
          <t>MEDIUM</t>
        </is>
      </c>
      <c r="G10" s="7" t="inlineStr">
        <is>
          <t>Medium</t>
        </is>
      </c>
      <c r="H10" s="7" t="inlineStr">
        <is>
          <t>Not Started</t>
        </is>
      </c>
      <c r="I10" s="8" t="inlineStr"/>
      <c r="J10" s="7" t="b">
        <v>0</v>
      </c>
      <c r="L10" t="inlineStr">
        <is>
          <t>Total Possible:</t>
        </is>
      </c>
      <c r="M10" t="inlineStr">
        <is>
          <t>67 hrs/week</t>
        </is>
      </c>
    </row>
    <row r="11">
      <c r="A11" s="7" t="inlineStr"/>
      <c r="B11" t="inlineStr">
        <is>
          <t>Strategic Intelligence</t>
        </is>
      </c>
      <c r="C11" t="inlineStr">
        <is>
          <t>Grant Intelligence Agent</t>
        </is>
      </c>
      <c r="D11" s="8" t="inlineStr">
        <is>
          <t>Finds relevant grants (NIH, NSF, DOD), analyzes winning proposals, estimates success probability.</t>
        </is>
      </c>
      <c r="E11" s="7" t="inlineStr">
        <is>
          <t>3 hours</t>
        </is>
      </c>
      <c r="F11" s="7" t="inlineStr">
        <is>
          <t>HIGH</t>
        </is>
      </c>
      <c r="G11" s="7" t="inlineStr">
        <is>
          <t>Medium</t>
        </is>
      </c>
      <c r="H11" s="7" t="inlineStr">
        <is>
          <t>Not Started</t>
        </is>
      </c>
      <c r="I11" s="8" t="inlineStr"/>
      <c r="J11" s="7" t="b">
        <v>1</v>
      </c>
    </row>
    <row r="12">
      <c r="L12" s="9" t="inlineStr">
        <is>
          <t>COMPLEXITY:</t>
        </is>
      </c>
    </row>
    <row r="13">
      <c r="A13" s="10" t="inlineStr">
        <is>
          <t>💼 INVESTOR RELATIONS</t>
        </is>
      </c>
      <c r="L13" t="inlineStr">
        <is>
          <t>Low:</t>
        </is>
      </c>
      <c r="M13">
        <f>COUNTIF(G7:G63,"Low")</f>
        <v/>
      </c>
    </row>
    <row r="14">
      <c r="A14" s="7" t="inlineStr"/>
      <c r="B14" t="inlineStr">
        <is>
          <t>Investor Relations</t>
        </is>
      </c>
      <c r="C14" t="inlineStr">
        <is>
          <t>Investor Update Generator</t>
        </is>
      </c>
      <c r="D14" s="8" t="inlineStr">
        <is>
          <t>Auto-generates weekly/monthly investor updates from research progress, milestones, and achievements.</t>
        </is>
      </c>
      <c r="E14" s="7" t="inlineStr">
        <is>
          <t>4 hours</t>
        </is>
      </c>
      <c r="F14" s="7" t="inlineStr">
        <is>
          <t>HIGH</t>
        </is>
      </c>
      <c r="G14" s="7" t="inlineStr">
        <is>
          <t>Low</t>
        </is>
      </c>
      <c r="H14" s="7" t="inlineStr">
        <is>
          <t>Not Started</t>
        </is>
      </c>
      <c r="I14" s="8" t="inlineStr"/>
      <c r="J14" s="7" t="b">
        <v>1</v>
      </c>
      <c r="L14" t="inlineStr">
        <is>
          <t>Medium:</t>
        </is>
      </c>
      <c r="M14">
        <f>COUNTIF(G7:G63,"Medium")</f>
        <v/>
      </c>
    </row>
    <row r="15">
      <c r="A15" s="7" t="inlineStr"/>
      <c r="B15" t="inlineStr">
        <is>
          <t>Investor Relations</t>
        </is>
      </c>
      <c r="C15" t="inlineStr">
        <is>
          <t>Pitch Deck Intelligence</t>
        </is>
      </c>
      <c r="D15" s="8" t="inlineStr">
        <is>
          <t>Keeps pitch deck current with latest milestones, competitive landscape, publications, team accomplishments.</t>
        </is>
      </c>
      <c r="E15" s="7" t="inlineStr">
        <is>
          <t>2 hours</t>
        </is>
      </c>
      <c r="F15" s="7" t="inlineStr">
        <is>
          <t>MEDIUM</t>
        </is>
      </c>
      <c r="G15" s="7" t="inlineStr">
        <is>
          <t>Low</t>
        </is>
      </c>
      <c r="H15" s="7" t="inlineStr">
        <is>
          <t>Not Started</t>
        </is>
      </c>
      <c r="I15" s="8" t="inlineStr"/>
      <c r="J15" s="7" t="b">
        <v>1</v>
      </c>
      <c r="L15" t="inlineStr">
        <is>
          <t>High:</t>
        </is>
      </c>
      <c r="M15">
        <f>COUNTIF(G7:G63,"High")</f>
        <v/>
      </c>
    </row>
    <row r="16">
      <c r="A16" s="7" t="inlineStr"/>
      <c r="B16" t="inlineStr">
        <is>
          <t>Investor Relations</t>
        </is>
      </c>
      <c r="C16" t="inlineStr">
        <is>
          <t>Fundraising Opportunity Scanner</t>
        </is>
      </c>
      <c r="D16" s="8" t="inlineStr">
        <is>
          <t>Identifies potential investors, tracks VC fund raises, suggests timing and warm intro paths.</t>
        </is>
      </c>
      <c r="E16" s="7" t="inlineStr">
        <is>
          <t>2 hours</t>
        </is>
      </c>
      <c r="F16" s="7" t="inlineStr">
        <is>
          <t>MEDIUM</t>
        </is>
      </c>
      <c r="G16" s="7" t="inlineStr">
        <is>
          <t>Medium</t>
        </is>
      </c>
      <c r="H16" s="7" t="inlineStr">
        <is>
          <t>Not Started</t>
        </is>
      </c>
      <c r="I16" s="8" t="inlineStr"/>
      <c r="J16" s="7" t="b">
        <v>0</v>
      </c>
    </row>
    <row r="17">
      <c r="A17" s="7" t="inlineStr"/>
      <c r="B17" t="inlineStr">
        <is>
          <t>Investor Relations</t>
        </is>
      </c>
      <c r="C17" t="inlineStr">
        <is>
          <t>Grant Writing Assistant</t>
        </is>
      </c>
      <c r="D17" s="8" t="inlineStr">
        <is>
          <t>Helps write and improve grant proposals based on winning examples and reviewer feedback patterns.</t>
        </is>
      </c>
      <c r="E17" s="7" t="inlineStr">
        <is>
          <t>3 hours</t>
        </is>
      </c>
      <c r="F17" s="7" t="inlineStr">
        <is>
          <t>HIGH</t>
        </is>
      </c>
      <c r="G17" s="7" t="inlineStr">
        <is>
          <t>High</t>
        </is>
      </c>
      <c r="H17" s="7" t="inlineStr">
        <is>
          <t>Not Started</t>
        </is>
      </c>
      <c r="I17" s="8" t="inlineStr"/>
      <c r="J17" s="7" t="b">
        <v>0</v>
      </c>
      <c r="L17" s="9" t="inlineStr">
        <is>
          <t>TOP 5 PRIORITIES:</t>
        </is>
      </c>
    </row>
    <row r="18">
      <c r="L18" t="inlineStr">
        <is>
          <t>1.</t>
        </is>
      </c>
      <c r="M18">
        <f>IFERROR(INDEX(C7:C63, MATCH(MAX(A7:A63), A7:A63, 0)), "")</f>
        <v/>
      </c>
    </row>
    <row r="19">
      <c r="A19" s="11" t="inlineStr">
        <is>
          <t>🔬 RESEARCH OVERSIGHT</t>
        </is>
      </c>
      <c r="L19" t="inlineStr">
        <is>
          <t>2.</t>
        </is>
      </c>
      <c r="M19">
        <f>IFERROR(INDEX(C7:C63, MATCH(LARGE(A7:A63,2), A7:A63, 0)), "")</f>
        <v/>
      </c>
    </row>
    <row r="20">
      <c r="A20" s="7" t="inlineStr"/>
      <c r="B20" t="inlineStr">
        <is>
          <t>Research Oversight</t>
        </is>
      </c>
      <c r="C20" t="inlineStr">
        <is>
          <t>Breakthrough Detector</t>
        </is>
      </c>
      <c r="D20" s="8" t="inlineStr">
        <is>
          <t>Flags significant research findings from team before formal reporting. Suggests patent opportunities.</t>
        </is>
      </c>
      <c r="E20" s="7" t="inlineStr">
        <is>
          <t>1 hour</t>
        </is>
      </c>
      <c r="F20" s="7" t="inlineStr">
        <is>
          <t>HIGH</t>
        </is>
      </c>
      <c r="G20" s="7" t="inlineStr">
        <is>
          <t>Medium</t>
        </is>
      </c>
      <c r="H20" s="7" t="inlineStr">
        <is>
          <t>Not Started</t>
        </is>
      </c>
      <c r="I20" s="8" t="inlineStr"/>
      <c r="J20" s="7" t="b">
        <v>1</v>
      </c>
      <c r="L20" t="inlineStr">
        <is>
          <t>3.</t>
        </is>
      </c>
      <c r="M20">
        <f>IFERROR(INDEX(C7:C63, MATCH(LARGE(A7:A63,3), A7:A63, 0)), "")</f>
        <v/>
      </c>
    </row>
    <row r="21">
      <c r="A21" s="7" t="inlineStr"/>
      <c r="B21" t="inlineStr">
        <is>
          <t>Research Oversight</t>
        </is>
      </c>
      <c r="C21" t="inlineStr">
        <is>
          <t>Research Portfolio Dashboard</t>
        </is>
      </c>
      <c r="D21" s="8" t="inlineStr">
        <is>
          <t>Real-time view of all projects: status, blockers, dependencies, timeline, risk flags.</t>
        </is>
      </c>
      <c r="E21" s="7" t="inlineStr">
        <is>
          <t>2 hours</t>
        </is>
      </c>
      <c r="F21" s="7" t="inlineStr">
        <is>
          <t>HIGH</t>
        </is>
      </c>
      <c r="G21" s="7" t="inlineStr">
        <is>
          <t>Medium</t>
        </is>
      </c>
      <c r="H21" s="7" t="inlineStr">
        <is>
          <t>Not Started</t>
        </is>
      </c>
      <c r="I21" s="8" t="inlineStr"/>
      <c r="J21" s="7" t="b">
        <v>1</v>
      </c>
    </row>
    <row r="22">
      <c r="A22" s="7" t="inlineStr"/>
      <c r="B22" t="inlineStr">
        <is>
          <t>Research Oversight</t>
        </is>
      </c>
      <c r="C22" t="inlineStr">
        <is>
          <t>Publication Opportunity Finder</t>
        </is>
      </c>
      <c r="D22" s="8" t="inlineStr">
        <is>
          <t>Matches research to journals, estimates acceptance likelihood, tracks submission deadlines.</t>
        </is>
      </c>
      <c r="E22" s="7" t="inlineStr">
        <is>
          <t>1 hour</t>
        </is>
      </c>
      <c r="F22" s="7" t="inlineStr">
        <is>
          <t>MEDIUM</t>
        </is>
      </c>
      <c r="G22" s="7" t="inlineStr">
        <is>
          <t>Low</t>
        </is>
      </c>
      <c r="H22" s="7" t="inlineStr">
        <is>
          <t>Not Started</t>
        </is>
      </c>
      <c r="I22" s="8" t="inlineStr"/>
      <c r="J22" s="7" t="b">
        <v>0</v>
      </c>
    </row>
    <row r="23">
      <c r="A23" s="7" t="inlineStr"/>
      <c r="B23" t="inlineStr">
        <is>
          <t>Research Oversight</t>
        </is>
      </c>
      <c r="C23" t="inlineStr">
        <is>
          <t>Collaboration Matchmaker</t>
        </is>
      </c>
      <c r="D23" s="8" t="inlineStr">
        <is>
          <t>Identifies external collaboration opportunities, finds complementary research partners.</t>
        </is>
      </c>
      <c r="E23" s="7" t="inlineStr">
        <is>
          <t>2 hours</t>
        </is>
      </c>
      <c r="F23" s="7" t="inlineStr">
        <is>
          <t>MEDIUM</t>
        </is>
      </c>
      <c r="G23" s="7" t="inlineStr">
        <is>
          <t>Medium</t>
        </is>
      </c>
      <c r="H23" s="7" t="inlineStr">
        <is>
          <t>Not Started</t>
        </is>
      </c>
      <c r="I23" s="8" t="inlineStr"/>
      <c r="J23" s="7" t="b">
        <v>0</v>
      </c>
    </row>
    <row r="24">
      <c r="A24" s="7" t="inlineStr"/>
      <c r="B24" t="inlineStr">
        <is>
          <t>Research Oversight</t>
        </is>
      </c>
      <c r="C24" t="inlineStr">
        <is>
          <t>Research ROI Tracker</t>
        </is>
      </c>
      <c r="D24" s="8" t="inlineStr">
        <is>
          <t>Tracks cost per publication, grant success rates, program efficiency across all research areas.</t>
        </is>
      </c>
      <c r="E24" s="7" t="inlineStr">
        <is>
          <t>1 hour</t>
        </is>
      </c>
      <c r="F24" s="7" t="inlineStr">
        <is>
          <t>MEDIUM</t>
        </is>
      </c>
      <c r="G24" s="7" t="inlineStr">
        <is>
          <t>Low</t>
        </is>
      </c>
      <c r="H24" s="7" t="inlineStr">
        <is>
          <t>Not Started</t>
        </is>
      </c>
      <c r="I24" s="8" t="inlineStr"/>
      <c r="J24" s="7" t="b">
        <v>0</v>
      </c>
    </row>
    <row r="26">
      <c r="A26" s="12" t="inlineStr">
        <is>
          <t>👥 TEAM MANAGEMENT</t>
        </is>
      </c>
    </row>
    <row r="27">
      <c r="A27" s="7" t="inlineStr"/>
      <c r="B27" t="inlineStr">
        <is>
          <t>Team Management</t>
        </is>
      </c>
      <c r="C27" t="inlineStr">
        <is>
          <t>Team Health Monitor</t>
        </is>
      </c>
      <c r="D27" s="8" t="inlineStr">
        <is>
          <t>Analyzes communication patterns to detect burnout, disengagement before they escalate.</t>
        </is>
      </c>
      <c r="E27" s="7" t="inlineStr">
        <is>
          <t>1 hour</t>
        </is>
      </c>
      <c r="F27" s="7" t="inlineStr">
        <is>
          <t>HIGH</t>
        </is>
      </c>
      <c r="G27" s="7" t="inlineStr">
        <is>
          <t>Medium</t>
        </is>
      </c>
      <c r="H27" s="7" t="inlineStr">
        <is>
          <t>Not Started</t>
        </is>
      </c>
      <c r="I27" s="8" t="inlineStr"/>
      <c r="J27" s="7" t="b">
        <v>1</v>
      </c>
    </row>
    <row r="28">
      <c r="A28" s="7" t="inlineStr"/>
      <c r="B28" t="inlineStr">
        <is>
          <t>Team Management</t>
        </is>
      </c>
      <c r="C28" t="inlineStr">
        <is>
          <t>Talent Pipeline Agent</t>
        </is>
      </c>
      <c r="D28" s="8" t="inlineStr">
        <is>
          <t>Monitors top researchers in your field for hiring. Tracks publication records, identifies unhappy researchers.</t>
        </is>
      </c>
      <c r="E28" s="7" t="inlineStr">
        <is>
          <t>2 hours</t>
        </is>
      </c>
      <c r="F28" s="7" t="inlineStr">
        <is>
          <t>MEDIUM</t>
        </is>
      </c>
      <c r="G28" s="7" t="inlineStr">
        <is>
          <t>Medium</t>
        </is>
      </c>
      <c r="H28" s="7" t="inlineStr">
        <is>
          <t>Not Started</t>
        </is>
      </c>
      <c r="I28" s="8" t="inlineStr"/>
      <c r="J28" s="7" t="b">
        <v>0</v>
      </c>
    </row>
    <row r="29">
      <c r="A29" s="7" t="inlineStr"/>
      <c r="B29" t="inlineStr">
        <is>
          <t>Team Management</t>
        </is>
      </c>
      <c r="C29" t="inlineStr">
        <is>
          <t>Productivity Insights</t>
        </is>
      </c>
      <c r="D29" s="8" t="inlineStr">
        <is>
          <t>Shows team blockers without micromanaging. Identifies bottlenecks and suggests process improvements.</t>
        </is>
      </c>
      <c r="E29" s="7" t="inlineStr">
        <is>
          <t>1 hour</t>
        </is>
      </c>
      <c r="F29" s="7" t="inlineStr">
        <is>
          <t>MEDIUM</t>
        </is>
      </c>
      <c r="G29" s="7" t="inlineStr">
        <is>
          <t>Low</t>
        </is>
      </c>
      <c r="H29" s="7" t="inlineStr">
        <is>
          <t>Not Started</t>
        </is>
      </c>
      <c r="I29" s="8" t="inlineStr"/>
      <c r="J29" s="7" t="b">
        <v>0</v>
      </c>
    </row>
    <row r="30">
      <c r="A30" s="7" t="inlineStr"/>
      <c r="B30" t="inlineStr">
        <is>
          <t>Team Management</t>
        </is>
      </c>
      <c r="C30" t="inlineStr">
        <is>
          <t>Onboarding Accelerator</t>
        </is>
      </c>
      <c r="D30" s="8" t="inlineStr">
        <is>
          <t>Creates personalized onboarding plans for new hires based on role and background.</t>
        </is>
      </c>
      <c r="E30" s="7" t="inlineStr">
        <is>
          <t>1 hour</t>
        </is>
      </c>
      <c r="F30" s="7" t="inlineStr">
        <is>
          <t>LOW</t>
        </is>
      </c>
      <c r="G30" s="7" t="inlineStr">
        <is>
          <t>Low</t>
        </is>
      </c>
      <c r="H30" s="7" t="inlineStr">
        <is>
          <t>Not Started</t>
        </is>
      </c>
      <c r="I30" s="8" t="inlineStr"/>
      <c r="J30" s="7" t="b">
        <v>0</v>
      </c>
    </row>
    <row r="32">
      <c r="A32" s="13" t="inlineStr">
        <is>
          <t>🤝 BUSINESS DEVELOPMENT</t>
        </is>
      </c>
    </row>
    <row r="33">
      <c r="A33" s="7" t="inlineStr"/>
      <c r="B33" t="inlineStr">
        <is>
          <t>Business Development</t>
        </is>
      </c>
      <c r="C33" t="inlineStr">
        <is>
          <t>Partnership Opportunity Scanner</t>
        </is>
      </c>
      <c r="D33" s="8" t="inlineStr">
        <is>
          <t>Finds pharma/biotech working on complementary research. Identifies partnership fit and warm intros.</t>
        </is>
      </c>
      <c r="E33" s="7" t="inlineStr">
        <is>
          <t>3 hours</t>
        </is>
      </c>
      <c r="F33" s="7" t="inlineStr">
        <is>
          <t>HIGH</t>
        </is>
      </c>
      <c r="G33" s="7" t="inlineStr">
        <is>
          <t>High</t>
        </is>
      </c>
      <c r="H33" s="7" t="inlineStr">
        <is>
          <t>Not Started</t>
        </is>
      </c>
      <c r="I33" s="8" t="inlineStr"/>
      <c r="J33" s="7" t="b">
        <v>1</v>
      </c>
    </row>
    <row r="34">
      <c r="A34" s="7" t="inlineStr"/>
      <c r="B34" t="inlineStr">
        <is>
          <t>Business Development</t>
        </is>
      </c>
      <c r="C34" t="inlineStr">
        <is>
          <t>Clinical Trial Intelligence</t>
        </is>
      </c>
      <c r="D34" s="8" t="inlineStr">
        <is>
          <t>Monitors relevant trials, identifies unmet needs, finds trial sponsors and partnership opportunities.</t>
        </is>
      </c>
      <c r="E34" s="7" t="inlineStr">
        <is>
          <t>2 hours</t>
        </is>
      </c>
      <c r="F34" s="7" t="inlineStr">
        <is>
          <t>HIGH</t>
        </is>
      </c>
      <c r="G34" s="7" t="inlineStr">
        <is>
          <t>Medium</t>
        </is>
      </c>
      <c r="H34" s="7" t="inlineStr">
        <is>
          <t>Not Started</t>
        </is>
      </c>
      <c r="I34" s="8" t="inlineStr"/>
      <c r="J34" s="7" t="b">
        <v>1</v>
      </c>
    </row>
    <row r="35">
      <c r="A35" s="7" t="inlineStr"/>
      <c r="B35" t="inlineStr">
        <is>
          <t>Business Development</t>
        </is>
      </c>
      <c r="C35" t="inlineStr">
        <is>
          <t>Licensing Opportunity Agent</t>
        </is>
      </c>
      <c r="D35" s="8" t="inlineStr">
        <is>
          <t>Finds in-licensing and out-licensing opportunities. Tracks patent auctions and technology transfers.</t>
        </is>
      </c>
      <c r="E35" s="7" t="inlineStr">
        <is>
          <t>2 hours</t>
        </is>
      </c>
      <c r="F35" s="7" t="inlineStr">
        <is>
          <t>MEDIUM</t>
        </is>
      </c>
      <c r="G35" s="7" t="inlineStr">
        <is>
          <t>Medium</t>
        </is>
      </c>
      <c r="H35" s="7" t="inlineStr">
        <is>
          <t>Not Started</t>
        </is>
      </c>
      <c r="I35" s="8" t="inlineStr"/>
      <c r="J35" s="7" t="b">
        <v>0</v>
      </c>
    </row>
    <row r="36">
      <c r="A36" s="7" t="inlineStr"/>
      <c r="B36" t="inlineStr">
        <is>
          <t>Business Development</t>
        </is>
      </c>
      <c r="C36" t="inlineStr">
        <is>
          <t>Conference ROI Analyzer</t>
        </is>
      </c>
      <c r="D36" s="8" t="inlineStr">
        <is>
          <t>Recommends which conferences to attend/sponsor based on attendee analysis and partnership ROI.</t>
        </is>
      </c>
      <c r="E36" s="7" t="inlineStr">
        <is>
          <t>1 hour</t>
        </is>
      </c>
      <c r="F36" s="7" t="inlineStr">
        <is>
          <t>LOW</t>
        </is>
      </c>
      <c r="G36" s="7" t="inlineStr">
        <is>
          <t>Low</t>
        </is>
      </c>
      <c r="H36" s="7" t="inlineStr">
        <is>
          <t>Not Started</t>
        </is>
      </c>
      <c r="I36" s="8" t="inlineStr"/>
      <c r="J36" s="7" t="b">
        <v>0</v>
      </c>
    </row>
    <row r="37">
      <c r="A37" s="7" t="inlineStr"/>
      <c r="B37" t="inlineStr">
        <is>
          <t>Business Development</t>
        </is>
      </c>
      <c r="C37" t="inlineStr">
        <is>
          <t>Market Intelligence</t>
        </is>
      </c>
      <c r="D37" s="8" t="inlineStr">
        <is>
          <t>Tracks cancer drug market trends, competitor pipelines, M&amp;A activity, and exit opportunities.</t>
        </is>
      </c>
      <c r="E37" s="7" t="inlineStr">
        <is>
          <t>2 hours</t>
        </is>
      </c>
      <c r="F37" s="7" t="inlineStr">
        <is>
          <t>MEDIUM</t>
        </is>
      </c>
      <c r="G37" s="7" t="inlineStr">
        <is>
          <t>Medium</t>
        </is>
      </c>
      <c r="H37" s="7" t="inlineStr">
        <is>
          <t>Not Started</t>
        </is>
      </c>
      <c r="I37" s="8" t="inlineStr"/>
      <c r="J37" s="7" t="b">
        <v>0</v>
      </c>
    </row>
    <row r="39">
      <c r="A39" s="14" t="inlineStr">
        <is>
          <t>📧 COMMUNICATIONS &amp; ADMIN</t>
        </is>
      </c>
    </row>
    <row r="40">
      <c r="A40" s="7" t="inlineStr"/>
      <c r="B40" t="inlineStr">
        <is>
          <t>Communications</t>
        </is>
      </c>
      <c r="C40" t="inlineStr">
        <is>
          <t>Email Prioritizer</t>
        </is>
      </c>
      <c r="D40" s="8" t="inlineStr">
        <is>
          <t>Sorts 200+ daily emails into: urgent/review/delegate/ignore with smart summaries.</t>
        </is>
      </c>
      <c r="E40" s="7" t="inlineStr">
        <is>
          <t>5 hours</t>
        </is>
      </c>
      <c r="F40" s="7" t="inlineStr">
        <is>
          <t>HIGH</t>
        </is>
      </c>
      <c r="G40" s="7" t="inlineStr">
        <is>
          <t>Medium</t>
        </is>
      </c>
      <c r="H40" s="7" t="inlineStr">
        <is>
          <t>Not Started</t>
        </is>
      </c>
      <c r="I40" s="8" t="inlineStr"/>
      <c r="J40" s="7" t="b">
        <v>1</v>
      </c>
    </row>
    <row r="41">
      <c r="A41" s="7" t="inlineStr"/>
      <c r="B41" t="inlineStr">
        <is>
          <t>Communications</t>
        </is>
      </c>
      <c r="C41" t="inlineStr">
        <is>
          <t>Meeting Prep Agent</t>
        </is>
      </c>
      <c r="D41" s="8" t="inlineStr">
        <is>
          <t>Prepares briefing docs for every meeting: attendee background, talking points, suggested outcomes.</t>
        </is>
      </c>
      <c r="E41" s="7" t="inlineStr">
        <is>
          <t>3 hours</t>
        </is>
      </c>
      <c r="F41" s="7" t="inlineStr">
        <is>
          <t>HIGH</t>
        </is>
      </c>
      <c r="G41" s="7" t="inlineStr">
        <is>
          <t>Low</t>
        </is>
      </c>
      <c r="H41" s="7" t="inlineStr">
        <is>
          <t>Not Started</t>
        </is>
      </c>
      <c r="I41" s="8" t="inlineStr"/>
      <c r="J41" s="7" t="b">
        <v>1</v>
      </c>
    </row>
    <row r="42">
      <c r="A42" s="7" t="inlineStr"/>
      <c r="B42" t="inlineStr">
        <is>
          <t>Communications</t>
        </is>
      </c>
      <c r="C42" t="inlineStr">
        <is>
          <t>Board Report Generator</t>
        </is>
      </c>
      <c r="D42" s="8" t="inlineStr">
        <is>
          <t>Compiles monthly board reports from research progress, financials, team updates automatically.</t>
        </is>
      </c>
      <c r="E42" s="7" t="inlineStr">
        <is>
          <t>4 hours</t>
        </is>
      </c>
      <c r="F42" s="7" t="inlineStr">
        <is>
          <t>HIGH</t>
        </is>
      </c>
      <c r="G42" s="7" t="inlineStr">
        <is>
          <t>Medium</t>
        </is>
      </c>
      <c r="H42" s="7" t="inlineStr">
        <is>
          <t>Not Started</t>
        </is>
      </c>
      <c r="I42" s="8" t="inlineStr"/>
      <c r="J42" s="7" t="b">
        <v>1</v>
      </c>
    </row>
    <row r="43">
      <c r="A43" s="7" t="inlineStr"/>
      <c r="B43" t="inlineStr">
        <is>
          <t>Communications</t>
        </is>
      </c>
      <c r="C43" t="inlineStr">
        <is>
          <t>Internal Announcements Writer</t>
        </is>
      </c>
      <c r="D43" s="8" t="inlineStr">
        <is>
          <t>Drafts team communications: milestone celebrations, new hires, policy updates.</t>
        </is>
      </c>
      <c r="E43" s="7" t="inlineStr">
        <is>
          <t>1 hour</t>
        </is>
      </c>
      <c r="F43" s="7" t="inlineStr">
        <is>
          <t>LOW</t>
        </is>
      </c>
      <c r="G43" s="7" t="inlineStr">
        <is>
          <t>Low</t>
        </is>
      </c>
      <c r="H43" s="7" t="inlineStr">
        <is>
          <t>Not Started</t>
        </is>
      </c>
      <c r="I43" s="8" t="inlineStr"/>
      <c r="J43" s="7" t="b">
        <v>0</v>
      </c>
    </row>
    <row r="44">
      <c r="A44" s="7" t="inlineStr"/>
      <c r="B44" t="inlineStr">
        <is>
          <t>Communications</t>
        </is>
      </c>
      <c r="C44" t="inlineStr">
        <is>
          <t>LinkedIn Content Generator</t>
        </is>
      </c>
      <c r="D44" s="8" t="inlineStr">
        <is>
          <t>Creates LinkedIn posts highlighting research achievements, team milestones, thought leadership.</t>
        </is>
      </c>
      <c r="E44" s="7" t="inlineStr">
        <is>
          <t>2 hours</t>
        </is>
      </c>
      <c r="F44" s="7" t="inlineStr">
        <is>
          <t>MEDIUM</t>
        </is>
      </c>
      <c r="G44" s="7" t="inlineStr">
        <is>
          <t>Low</t>
        </is>
      </c>
      <c r="H44" s="7" t="inlineStr">
        <is>
          <t>Not Started</t>
        </is>
      </c>
      <c r="I44" s="8" t="inlineStr"/>
      <c r="J44" s="7" t="b">
        <v>0</v>
      </c>
    </row>
    <row r="45">
      <c r="A45" s="7" t="inlineStr"/>
      <c r="B45" t="inlineStr">
        <is>
          <t>Communications</t>
        </is>
      </c>
      <c r="C45" t="inlineStr">
        <is>
          <t>Press Release Writer</t>
        </is>
      </c>
      <c r="D45" s="8" t="inlineStr">
        <is>
          <t>Drafts press releases for significant research breakthroughs and company milestones.</t>
        </is>
      </c>
      <c r="E45" s="7" t="inlineStr">
        <is>
          <t>2 hours</t>
        </is>
      </c>
      <c r="F45" s="7" t="inlineStr">
        <is>
          <t>MEDIUM</t>
        </is>
      </c>
      <c r="G45" s="7" t="inlineStr">
        <is>
          <t>Low</t>
        </is>
      </c>
      <c r="H45" s="7" t="inlineStr">
        <is>
          <t>Not Started</t>
        </is>
      </c>
      <c r="I45" s="8" t="inlineStr"/>
      <c r="J45" s="7" t="b">
        <v>0</v>
      </c>
    </row>
    <row r="47">
      <c r="A47" s="15" t="inlineStr">
        <is>
          <t>💰 FINANCIAL OPERATIONS</t>
        </is>
      </c>
    </row>
    <row r="48">
      <c r="A48" s="7" t="inlineStr"/>
      <c r="B48" t="inlineStr">
        <is>
          <t>Financial</t>
        </is>
      </c>
      <c r="C48" t="inlineStr">
        <is>
          <t>Budget Optimizer</t>
        </is>
      </c>
      <c r="D48" s="8" t="inlineStr">
        <is>
          <t>Recommends resource reallocation based on research progress and ROI analysis.</t>
        </is>
      </c>
      <c r="E48" s="7" t="inlineStr">
        <is>
          <t>2 hours</t>
        </is>
      </c>
      <c r="F48" s="7" t="inlineStr">
        <is>
          <t>HIGH</t>
        </is>
      </c>
      <c r="G48" s="7" t="inlineStr">
        <is>
          <t>Medium</t>
        </is>
      </c>
      <c r="H48" s="7" t="inlineStr">
        <is>
          <t>Not Started</t>
        </is>
      </c>
      <c r="I48" s="8" t="inlineStr"/>
      <c r="J48" s="7" t="b">
        <v>1</v>
      </c>
    </row>
    <row r="49">
      <c r="A49" s="7" t="inlineStr"/>
      <c r="B49" t="inlineStr">
        <is>
          <t>Financial</t>
        </is>
      </c>
      <c r="C49" t="inlineStr">
        <is>
          <t>Burn Rate Monitor</t>
        </is>
      </c>
      <c r="D49" s="8" t="inlineStr">
        <is>
          <t>Tracks spending velocity daily, alerts on budget risks, calculates runway.</t>
        </is>
      </c>
      <c r="E49" s="7" t="inlineStr">
        <is>
          <t>1 hour</t>
        </is>
      </c>
      <c r="F49" s="7" t="inlineStr">
        <is>
          <t>HIGH</t>
        </is>
      </c>
      <c r="G49" s="7" t="inlineStr">
        <is>
          <t>Low</t>
        </is>
      </c>
      <c r="H49" s="7" t="inlineStr">
        <is>
          <t>Not Started</t>
        </is>
      </c>
      <c r="I49" s="8" t="inlineStr"/>
      <c r="J49" s="7" t="b">
        <v>1</v>
      </c>
    </row>
    <row r="50">
      <c r="A50" s="7" t="inlineStr"/>
      <c r="B50" t="inlineStr">
        <is>
          <t>Financial</t>
        </is>
      </c>
      <c r="C50" t="inlineStr">
        <is>
          <t>Research ROI Analyzer</t>
        </is>
      </c>
      <c r="D50" s="8" t="inlineStr">
        <is>
          <t>Calculates cost per publication, grant success ROI, program efficiency. Investment recommendations.</t>
        </is>
      </c>
      <c r="E50" s="7" t="inlineStr">
        <is>
          <t>2 hours</t>
        </is>
      </c>
      <c r="F50" s="7" t="inlineStr">
        <is>
          <t>MEDIUM</t>
        </is>
      </c>
      <c r="G50" s="7" t="inlineStr">
        <is>
          <t>Medium</t>
        </is>
      </c>
      <c r="H50" s="7" t="inlineStr">
        <is>
          <t>Not Started</t>
        </is>
      </c>
      <c r="I50" s="8" t="inlineStr"/>
      <c r="J50" s="7" t="b">
        <v>0</v>
      </c>
    </row>
    <row r="51">
      <c r="A51" s="7" t="inlineStr"/>
      <c r="B51" t="inlineStr">
        <is>
          <t>Financial</t>
        </is>
      </c>
      <c r="C51" t="inlineStr">
        <is>
          <t>Vendor Intelligence</t>
        </is>
      </c>
      <c r="D51" s="8" t="inlineStr">
        <is>
          <t>Monitors equipment/service vendors for better pricing, tracks contract renewals, suggests alternatives.</t>
        </is>
      </c>
      <c r="E51" s="7" t="inlineStr">
        <is>
          <t>1 hour</t>
        </is>
      </c>
      <c r="F51" s="7" t="inlineStr">
        <is>
          <t>LOW</t>
        </is>
      </c>
      <c r="G51" s="7" t="inlineStr">
        <is>
          <t>Low</t>
        </is>
      </c>
      <c r="H51" s="7" t="inlineStr">
        <is>
          <t>Not Started</t>
        </is>
      </c>
      <c r="I51" s="8" t="inlineStr"/>
      <c r="J51" s="7" t="b">
        <v>0</v>
      </c>
    </row>
    <row r="53">
      <c r="A53" s="16" t="inlineStr">
        <is>
          <t>⚖️ REGULATORY &amp; COMPLIANCE</t>
        </is>
      </c>
    </row>
    <row r="54">
      <c r="A54" s="7" t="inlineStr"/>
      <c r="B54" t="inlineStr">
        <is>
          <t>Regulatory</t>
        </is>
      </c>
      <c r="C54" t="inlineStr">
        <is>
          <t>Regulatory Intelligence</t>
        </is>
      </c>
      <c r="D54" s="8" t="inlineStr">
        <is>
          <t>Monitors FDA/regulatory changes affecting ACM research. Tracks approval trends and competitor approvals.</t>
        </is>
      </c>
      <c r="E54" s="7" t="inlineStr">
        <is>
          <t>2 hours</t>
        </is>
      </c>
      <c r="F54" s="7" t="inlineStr">
        <is>
          <t>MEDIUM</t>
        </is>
      </c>
      <c r="G54" s="7" t="inlineStr">
        <is>
          <t>Medium</t>
        </is>
      </c>
      <c r="H54" s="7" t="inlineStr">
        <is>
          <t>Not Started</t>
        </is>
      </c>
      <c r="I54" s="8" t="inlineStr"/>
      <c r="J54" s="7" t="b">
        <v>0</v>
      </c>
    </row>
    <row r="55">
      <c r="A55" s="7" t="inlineStr"/>
      <c r="B55" t="inlineStr">
        <is>
          <t>Regulatory</t>
        </is>
      </c>
      <c r="C55" t="inlineStr">
        <is>
          <t>Risk Monitor</t>
        </is>
      </c>
      <c r="D55" s="8" t="inlineStr">
        <is>
          <t>Flags compliance risks, research ethics issues, safety concerns, IP infringement risks.</t>
        </is>
      </c>
      <c r="E55" s="7" t="inlineStr">
        <is>
          <t>1 hour</t>
        </is>
      </c>
      <c r="F55" s="7" t="inlineStr">
        <is>
          <t>HIGH</t>
        </is>
      </c>
      <c r="G55" s="7" t="inlineStr">
        <is>
          <t>Medium</t>
        </is>
      </c>
      <c r="H55" s="7" t="inlineStr">
        <is>
          <t>Not Started</t>
        </is>
      </c>
      <c r="I55" s="8" t="inlineStr"/>
      <c r="J55" s="7" t="b">
        <v>1</v>
      </c>
    </row>
    <row r="56">
      <c r="A56" s="7" t="inlineStr"/>
      <c r="B56" t="inlineStr">
        <is>
          <t>Regulatory</t>
        </is>
      </c>
      <c r="C56" t="inlineStr">
        <is>
          <t>Audit Preparation</t>
        </is>
      </c>
      <c r="D56" s="8" t="inlineStr">
        <is>
          <t>Maintains audit-ready documentation, flags potential audit issues before they become problems.</t>
        </is>
      </c>
      <c r="E56" s="7" t="inlineStr">
        <is>
          <t>1 hour</t>
        </is>
      </c>
      <c r="F56" s="7" t="inlineStr">
        <is>
          <t>MEDIUM</t>
        </is>
      </c>
      <c r="G56" s="7" t="inlineStr">
        <is>
          <t>Low</t>
        </is>
      </c>
      <c r="H56" s="7" t="inlineStr">
        <is>
          <t>Not Started</t>
        </is>
      </c>
      <c r="I56" s="8" t="inlineStr"/>
      <c r="J56" s="7" t="b">
        <v>0</v>
      </c>
    </row>
    <row r="58">
      <c r="A58" s="17" t="inlineStr">
        <is>
          <t>🧠 PERSONAL PRODUCTIVITY</t>
        </is>
      </c>
    </row>
    <row r="59">
      <c r="A59" s="7" t="inlineStr"/>
      <c r="B59" t="inlineStr">
        <is>
          <t>Personal</t>
        </is>
      </c>
      <c r="C59" t="inlineStr">
        <is>
          <t>Decision Intelligence</t>
        </is>
      </c>
      <c r="D59" s="8" t="inlineStr">
        <is>
          <t>Summarizes complex issues with pros/cons, risk assessment, data-driven recommendations.</t>
        </is>
      </c>
      <c r="E59" s="7" t="inlineStr">
        <is>
          <t>3 hours</t>
        </is>
      </c>
      <c r="F59" s="7" t="inlineStr">
        <is>
          <t>HIGH</t>
        </is>
      </c>
      <c r="G59" s="7" t="inlineStr">
        <is>
          <t>High</t>
        </is>
      </c>
      <c r="H59" s="7" t="inlineStr">
        <is>
          <t>Not Started</t>
        </is>
      </c>
      <c r="I59" s="8" t="inlineStr"/>
      <c r="J59" s="7" t="b">
        <v>1</v>
      </c>
    </row>
    <row r="60">
      <c r="A60" s="7" t="inlineStr"/>
      <c r="B60" t="inlineStr">
        <is>
          <t>Personal</t>
        </is>
      </c>
      <c r="C60" t="inlineStr">
        <is>
          <t>Reading Digest Agent</t>
        </is>
      </c>
      <c r="D60" s="8" t="inlineStr">
        <is>
          <t>Curates must-read papers, industry news, competitor updates into 10-minute daily digest.</t>
        </is>
      </c>
      <c r="E60" s="7" t="inlineStr">
        <is>
          <t>5 hours</t>
        </is>
      </c>
      <c r="F60" s="7" t="inlineStr">
        <is>
          <t>HIGH</t>
        </is>
      </c>
      <c r="G60" s="7" t="inlineStr">
        <is>
          <t>Medium</t>
        </is>
      </c>
      <c r="H60" s="7" t="inlineStr">
        <is>
          <t>Not Started</t>
        </is>
      </c>
      <c r="I60" s="8" t="inlineStr"/>
      <c r="J60" s="7" t="b">
        <v>1</v>
      </c>
    </row>
    <row r="61">
      <c r="A61" s="7" t="inlineStr"/>
      <c r="B61" t="inlineStr">
        <is>
          <t>Personal</t>
        </is>
      </c>
      <c r="C61" t="inlineStr">
        <is>
          <t>Calendar Optimizer</t>
        </is>
      </c>
      <c r="D61" s="8" t="inlineStr">
        <is>
          <t>Suggests meeting consolidation, blocks focus time, identifies unnecessary meetings.</t>
        </is>
      </c>
      <c r="E61" s="7" t="inlineStr">
        <is>
          <t>2 hours</t>
        </is>
      </c>
      <c r="F61" s="7" t="inlineStr">
        <is>
          <t>MEDIUM</t>
        </is>
      </c>
      <c r="G61" s="7" t="inlineStr">
        <is>
          <t>Low</t>
        </is>
      </c>
      <c r="H61" s="7" t="inlineStr">
        <is>
          <t>Not Started</t>
        </is>
      </c>
      <c r="I61" s="8" t="inlineStr"/>
      <c r="J61" s="7" t="b">
        <v>1</v>
      </c>
    </row>
    <row r="62">
      <c r="A62" s="7" t="inlineStr"/>
      <c r="B62" t="inlineStr">
        <is>
          <t>Personal</t>
        </is>
      </c>
      <c r="C62" t="inlineStr">
        <is>
          <t>Travel Coordinator</t>
        </is>
      </c>
      <c r="D62" s="8" t="inlineStr">
        <is>
          <t>Books travel, manages itineraries, prepares trip briefs with meeting schedules and local intel.</t>
        </is>
      </c>
      <c r="E62" s="7" t="inlineStr">
        <is>
          <t>2 hours</t>
        </is>
      </c>
      <c r="F62" s="7" t="inlineStr">
        <is>
          <t>LOW</t>
        </is>
      </c>
      <c r="G62" s="7" t="inlineStr">
        <is>
          <t>Low</t>
        </is>
      </c>
      <c r="H62" s="7" t="inlineStr">
        <is>
          <t>Not Started</t>
        </is>
      </c>
      <c r="I62" s="8" t="inlineStr"/>
      <c r="J62" s="7" t="b">
        <v>0</v>
      </c>
    </row>
  </sheetData>
  <mergeCells count="13">
    <mergeCell ref="A47:J47"/>
    <mergeCell ref="A1:J1"/>
    <mergeCell ref="L1:N1"/>
    <mergeCell ref="A32:J32"/>
    <mergeCell ref="A58:J58"/>
    <mergeCell ref="A39:J39"/>
    <mergeCell ref="A53:J53"/>
    <mergeCell ref="A4:J4"/>
    <mergeCell ref="A7:J7"/>
    <mergeCell ref="A19:J19"/>
    <mergeCell ref="A26:J26"/>
    <mergeCell ref="A2:J2"/>
    <mergeCell ref="A13:J13"/>
  </mergeCells>
  <dataValidations count="4">
    <dataValidation sqref="A7:A63" showDropDown="0" showInputMessage="0" showErrorMessage="0" allowBlank="1" type="list">
      <formula1>"5 - Critical,4 - High,3 - Medium,2 - Low,1 - Not Now"</formula1>
    </dataValidation>
    <dataValidation sqref="F7:F63" showDropDown="0" showInputMessage="0" showErrorMessage="0" allowBlank="1" type="list">
      <formula1>"HIGH,MEDIUM,LOW"</formula1>
    </dataValidation>
    <dataValidation sqref="G7:G63" showDropDown="0" showInputMessage="0" showErrorMessage="0" allowBlank="1" type="list">
      <formula1>"Low,Medium,High"</formula1>
    </dataValidation>
    <dataValidation sqref="H7:H63" showDropDown="0" showInputMessage="0" showErrorMessage="0" allowBlank="1" type="list">
      <formula1>"Not Started,Planning,In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45" customWidth="1" min="4" max="4"/>
    <col width="15" customWidth="1" min="5" max="5"/>
    <col width="15" customWidth="1" min="6" max="6"/>
    <col width="15" customWidth="1" min="7" max="7"/>
    <col width="13" customWidth="1" min="8" max="8"/>
    <col width="32" customWidth="1" min="9" max="9"/>
    <col width="10" customWidth="1" min="10" max="10"/>
  </cols>
  <sheetData>
    <row r="1" ht="72" customHeight="1">
      <c r="A1" s="18" t="inlineStr">
        <is>
          <t>⚡ QUICK WIN AGENTS
High Impact + Fast to Build</t>
        </is>
      </c>
    </row>
    <row r="3">
      <c r="A3" s="5" t="inlineStr">
        <is>
          <t>Priority</t>
        </is>
      </c>
      <c r="B3" s="5" t="inlineStr">
        <is>
          <t>Area</t>
        </is>
      </c>
      <c r="C3" s="5" t="inlineStr">
        <is>
          <t>Agent Name</t>
        </is>
      </c>
      <c r="D3" s="5" t="inlineStr">
        <is>
          <t>What It Does</t>
        </is>
      </c>
      <c r="E3" s="5" t="inlineStr">
        <is>
          <t>Time Saved/Week</t>
        </is>
      </c>
      <c r="F3" s="5" t="inlineStr">
        <is>
          <t>Business Impact</t>
        </is>
      </c>
      <c r="G3" s="5" t="inlineStr">
        <is>
          <t>Build Complexity</t>
        </is>
      </c>
      <c r="H3" s="5" t="inlineStr">
        <is>
          <t>Status</t>
        </is>
      </c>
      <c r="I3" s="5" t="inlineStr">
        <is>
          <t>Your Notes</t>
        </is>
      </c>
      <c r="J3" s="5" t="inlineStr">
        <is>
          <t>Quick Win?</t>
        </is>
      </c>
    </row>
    <row r="4">
      <c r="A4" s="7" t="inlineStr"/>
      <c r="B4" t="inlineStr">
        <is>
          <t>Strategic Intelligence</t>
        </is>
      </c>
      <c r="C4" t="inlineStr">
        <is>
          <t>Competitive Intelligence Agent</t>
        </is>
      </c>
      <c r="D4" s="8" t="inlineStr">
        <is>
          <t>Monitors 20+ competitors daily - tracks publications, patents, clinical trials. Alerts on significant developments.</t>
        </is>
      </c>
      <c r="E4" s="7" t="inlineStr">
        <is>
          <t>3 hours</t>
        </is>
      </c>
      <c r="F4" s="7" t="inlineStr">
        <is>
          <t>HIGH</t>
        </is>
      </c>
      <c r="G4" s="7" t="inlineStr">
        <is>
          <t>Medium</t>
        </is>
      </c>
      <c r="H4" s="7" t="inlineStr">
        <is>
          <t>Not Started</t>
        </is>
      </c>
      <c r="I4" s="8" t="inlineStr"/>
      <c r="J4" s="7" t="b">
        <v>1</v>
      </c>
    </row>
    <row r="5">
      <c r="A5" s="7" t="inlineStr"/>
      <c r="B5" t="inlineStr">
        <is>
          <t>Strategic Intelligence</t>
        </is>
      </c>
      <c r="C5" t="inlineStr">
        <is>
          <t>Research Trend Scanner</t>
        </is>
      </c>
      <c r="D5" s="8" t="inlineStr">
        <is>
          <t>Identifies emerging cancer research trends 6-12 months before mainstream through citation velocity analysis.</t>
        </is>
      </c>
      <c r="E5" s="7" t="inlineStr">
        <is>
          <t>2 hours</t>
        </is>
      </c>
      <c r="F5" s="7" t="inlineStr">
        <is>
          <t>HIGH</t>
        </is>
      </c>
      <c r="G5" s="7" t="inlineStr">
        <is>
          <t>High</t>
        </is>
      </c>
      <c r="H5" s="7" t="inlineStr">
        <is>
          <t>Not Started</t>
        </is>
      </c>
      <c r="I5" s="8" t="inlineStr"/>
      <c r="J5" s="7" t="b">
        <v>1</v>
      </c>
    </row>
    <row r="6">
      <c r="A6" s="7" t="inlineStr"/>
      <c r="B6" t="inlineStr">
        <is>
          <t>Strategic Intelligence</t>
        </is>
      </c>
      <c r="C6" t="inlineStr">
        <is>
          <t>Grant Intelligence Agent</t>
        </is>
      </c>
      <c r="D6" s="8" t="inlineStr">
        <is>
          <t>Finds relevant grants (NIH, NSF, DOD), analyzes winning proposals, estimates success probability.</t>
        </is>
      </c>
      <c r="E6" s="7" t="inlineStr">
        <is>
          <t>3 hours</t>
        </is>
      </c>
      <c r="F6" s="7" t="inlineStr">
        <is>
          <t>HIGH</t>
        </is>
      </c>
      <c r="G6" s="7" t="inlineStr">
        <is>
          <t>Medium</t>
        </is>
      </c>
      <c r="H6" s="7" t="inlineStr">
        <is>
          <t>Not Started</t>
        </is>
      </c>
      <c r="I6" s="8" t="inlineStr"/>
      <c r="J6" s="7" t="b">
        <v>1</v>
      </c>
    </row>
    <row r="7">
      <c r="A7" s="7" t="inlineStr"/>
      <c r="B7" t="inlineStr">
        <is>
          <t>Investor Relations</t>
        </is>
      </c>
      <c r="C7" t="inlineStr">
        <is>
          <t>Investor Update Generator</t>
        </is>
      </c>
      <c r="D7" s="8" t="inlineStr">
        <is>
          <t>Auto-generates weekly/monthly investor updates from research progress, milestones, and achievements.</t>
        </is>
      </c>
      <c r="E7" s="7" t="inlineStr">
        <is>
          <t>4 hours</t>
        </is>
      </c>
      <c r="F7" s="7" t="inlineStr">
        <is>
          <t>HIGH</t>
        </is>
      </c>
      <c r="G7" s="7" t="inlineStr">
        <is>
          <t>Low</t>
        </is>
      </c>
      <c r="H7" s="7" t="inlineStr">
        <is>
          <t>Not Started</t>
        </is>
      </c>
      <c r="I7" s="8" t="inlineStr"/>
      <c r="J7" s="7" t="b">
        <v>1</v>
      </c>
    </row>
    <row r="8">
      <c r="A8" s="7" t="inlineStr"/>
      <c r="B8" t="inlineStr">
        <is>
          <t>Investor Relations</t>
        </is>
      </c>
      <c r="C8" t="inlineStr">
        <is>
          <t>Pitch Deck Intelligence</t>
        </is>
      </c>
      <c r="D8" s="8" t="inlineStr">
        <is>
          <t>Keeps pitch deck current with latest milestones, competitive landscape, publications, team accomplishments.</t>
        </is>
      </c>
      <c r="E8" s="7" t="inlineStr">
        <is>
          <t>2 hours</t>
        </is>
      </c>
      <c r="F8" s="7" t="inlineStr">
        <is>
          <t>MEDIUM</t>
        </is>
      </c>
      <c r="G8" s="7" t="inlineStr">
        <is>
          <t>Low</t>
        </is>
      </c>
      <c r="H8" s="7" t="inlineStr">
        <is>
          <t>Not Started</t>
        </is>
      </c>
      <c r="I8" s="8" t="inlineStr"/>
      <c r="J8" s="7" t="b">
        <v>1</v>
      </c>
    </row>
    <row r="9">
      <c r="A9" s="7" t="inlineStr"/>
      <c r="B9" t="inlineStr">
        <is>
          <t>Research Oversight</t>
        </is>
      </c>
      <c r="C9" t="inlineStr">
        <is>
          <t>Breakthrough Detector</t>
        </is>
      </c>
      <c r="D9" s="8" t="inlineStr">
        <is>
          <t>Flags significant research findings from team before formal reporting. Suggests patent opportunities.</t>
        </is>
      </c>
      <c r="E9" s="7" t="inlineStr">
        <is>
          <t>1 hour</t>
        </is>
      </c>
      <c r="F9" s="7" t="inlineStr">
        <is>
          <t>HIGH</t>
        </is>
      </c>
      <c r="G9" s="7" t="inlineStr">
        <is>
          <t>Medium</t>
        </is>
      </c>
      <c r="H9" s="7" t="inlineStr">
        <is>
          <t>Not Started</t>
        </is>
      </c>
      <c r="I9" s="8" t="inlineStr"/>
      <c r="J9" s="7" t="b">
        <v>1</v>
      </c>
    </row>
    <row r="10">
      <c r="A10" s="7" t="inlineStr"/>
      <c r="B10" t="inlineStr">
        <is>
          <t>Research Oversight</t>
        </is>
      </c>
      <c r="C10" t="inlineStr">
        <is>
          <t>Research Portfolio Dashboard</t>
        </is>
      </c>
      <c r="D10" s="8" t="inlineStr">
        <is>
          <t>Real-time view of all projects: status, blockers, dependencies, timeline, risk flags.</t>
        </is>
      </c>
      <c r="E10" s="7" t="inlineStr">
        <is>
          <t>2 hours</t>
        </is>
      </c>
      <c r="F10" s="7" t="inlineStr">
        <is>
          <t>HIGH</t>
        </is>
      </c>
      <c r="G10" s="7" t="inlineStr">
        <is>
          <t>Medium</t>
        </is>
      </c>
      <c r="H10" s="7" t="inlineStr">
        <is>
          <t>Not Started</t>
        </is>
      </c>
      <c r="I10" s="8" t="inlineStr"/>
      <c r="J10" s="7" t="b">
        <v>1</v>
      </c>
    </row>
    <row r="11">
      <c r="A11" s="7" t="inlineStr"/>
      <c r="B11" t="inlineStr">
        <is>
          <t>Team Management</t>
        </is>
      </c>
      <c r="C11" t="inlineStr">
        <is>
          <t>Team Health Monitor</t>
        </is>
      </c>
      <c r="D11" s="8" t="inlineStr">
        <is>
          <t>Analyzes communication patterns to detect burnout, disengagement before they escalate.</t>
        </is>
      </c>
      <c r="E11" s="7" t="inlineStr">
        <is>
          <t>1 hour</t>
        </is>
      </c>
      <c r="F11" s="7" t="inlineStr">
        <is>
          <t>HIGH</t>
        </is>
      </c>
      <c r="G11" s="7" t="inlineStr">
        <is>
          <t>Medium</t>
        </is>
      </c>
      <c r="H11" s="7" t="inlineStr">
        <is>
          <t>Not Started</t>
        </is>
      </c>
      <c r="I11" s="8" t="inlineStr"/>
      <c r="J11" s="7" t="b">
        <v>1</v>
      </c>
    </row>
    <row r="12">
      <c r="A12" s="7" t="inlineStr"/>
      <c r="B12" t="inlineStr">
        <is>
          <t>Business Development</t>
        </is>
      </c>
      <c r="C12" t="inlineStr">
        <is>
          <t>Partnership Opportunity Scanner</t>
        </is>
      </c>
      <c r="D12" s="8" t="inlineStr">
        <is>
          <t>Finds pharma/biotech working on complementary research. Identifies partnership fit and warm intros.</t>
        </is>
      </c>
      <c r="E12" s="7" t="inlineStr">
        <is>
          <t>3 hours</t>
        </is>
      </c>
      <c r="F12" s="7" t="inlineStr">
        <is>
          <t>HIGH</t>
        </is>
      </c>
      <c r="G12" s="7" t="inlineStr">
        <is>
          <t>High</t>
        </is>
      </c>
      <c r="H12" s="7" t="inlineStr">
        <is>
          <t>Not Started</t>
        </is>
      </c>
      <c r="I12" s="8" t="inlineStr"/>
      <c r="J12" s="7" t="b">
        <v>1</v>
      </c>
    </row>
    <row r="13">
      <c r="A13" s="7" t="inlineStr"/>
      <c r="B13" t="inlineStr">
        <is>
          <t>Business Development</t>
        </is>
      </c>
      <c r="C13" t="inlineStr">
        <is>
          <t>Clinical Trial Intelligence</t>
        </is>
      </c>
      <c r="D13" s="8" t="inlineStr">
        <is>
          <t>Monitors relevant trials, identifies unmet needs, finds trial sponsors and partnership opportunities.</t>
        </is>
      </c>
      <c r="E13" s="7" t="inlineStr">
        <is>
          <t>2 hours</t>
        </is>
      </c>
      <c r="F13" s="7" t="inlineStr">
        <is>
          <t>HIGH</t>
        </is>
      </c>
      <c r="G13" s="7" t="inlineStr">
        <is>
          <t>Medium</t>
        </is>
      </c>
      <c r="H13" s="7" t="inlineStr">
        <is>
          <t>Not Started</t>
        </is>
      </c>
      <c r="I13" s="8" t="inlineStr"/>
      <c r="J13" s="7" t="b">
        <v>1</v>
      </c>
    </row>
    <row r="14">
      <c r="A14" s="7" t="inlineStr"/>
      <c r="B14" t="inlineStr">
        <is>
          <t>Communications</t>
        </is>
      </c>
      <c r="C14" t="inlineStr">
        <is>
          <t>Email Prioritizer</t>
        </is>
      </c>
      <c r="D14" s="8" t="inlineStr">
        <is>
          <t>Sorts 200+ daily emails into: urgent/review/delegate/ignore with smart summaries.</t>
        </is>
      </c>
      <c r="E14" s="7" t="inlineStr">
        <is>
          <t>5 hours</t>
        </is>
      </c>
      <c r="F14" s="7" t="inlineStr">
        <is>
          <t>HIGH</t>
        </is>
      </c>
      <c r="G14" s="7" t="inlineStr">
        <is>
          <t>Medium</t>
        </is>
      </c>
      <c r="H14" s="7" t="inlineStr">
        <is>
          <t>Not Started</t>
        </is>
      </c>
      <c r="I14" s="8" t="inlineStr"/>
      <c r="J14" s="7" t="b">
        <v>1</v>
      </c>
    </row>
    <row r="15">
      <c r="A15" s="7" t="inlineStr"/>
      <c r="B15" t="inlineStr">
        <is>
          <t>Communications</t>
        </is>
      </c>
      <c r="C15" t="inlineStr">
        <is>
          <t>Meeting Prep Agent</t>
        </is>
      </c>
      <c r="D15" s="8" t="inlineStr">
        <is>
          <t>Prepares briefing docs for every meeting: attendee background, talking points, suggested outcomes.</t>
        </is>
      </c>
      <c r="E15" s="7" t="inlineStr">
        <is>
          <t>3 hours</t>
        </is>
      </c>
      <c r="F15" s="7" t="inlineStr">
        <is>
          <t>HIGH</t>
        </is>
      </c>
      <c r="G15" s="7" t="inlineStr">
        <is>
          <t>Low</t>
        </is>
      </c>
      <c r="H15" s="7" t="inlineStr">
        <is>
          <t>Not Started</t>
        </is>
      </c>
      <c r="I15" s="8" t="inlineStr"/>
      <c r="J15" s="7" t="b">
        <v>1</v>
      </c>
    </row>
    <row r="16">
      <c r="A16" s="7" t="inlineStr"/>
      <c r="B16" t="inlineStr">
        <is>
          <t>Communications</t>
        </is>
      </c>
      <c r="C16" t="inlineStr">
        <is>
          <t>Board Report Generator</t>
        </is>
      </c>
      <c r="D16" s="8" t="inlineStr">
        <is>
          <t>Compiles monthly board reports from research progress, financials, team updates automatically.</t>
        </is>
      </c>
      <c r="E16" s="7" t="inlineStr">
        <is>
          <t>4 hours</t>
        </is>
      </c>
      <c r="F16" s="7" t="inlineStr">
        <is>
          <t>HIGH</t>
        </is>
      </c>
      <c r="G16" s="7" t="inlineStr">
        <is>
          <t>Medium</t>
        </is>
      </c>
      <c r="H16" s="7" t="inlineStr">
        <is>
          <t>Not Started</t>
        </is>
      </c>
      <c r="I16" s="8" t="inlineStr"/>
      <c r="J16" s="7" t="b">
        <v>1</v>
      </c>
    </row>
    <row r="17">
      <c r="A17" s="7" t="inlineStr"/>
      <c r="B17" t="inlineStr">
        <is>
          <t>Financial</t>
        </is>
      </c>
      <c r="C17" t="inlineStr">
        <is>
          <t>Budget Optimizer</t>
        </is>
      </c>
      <c r="D17" s="8" t="inlineStr">
        <is>
          <t>Recommends resource reallocation based on research progress and ROI analysis.</t>
        </is>
      </c>
      <c r="E17" s="7" t="inlineStr">
        <is>
          <t>2 hours</t>
        </is>
      </c>
      <c r="F17" s="7" t="inlineStr">
        <is>
          <t>HIGH</t>
        </is>
      </c>
      <c r="G17" s="7" t="inlineStr">
        <is>
          <t>Medium</t>
        </is>
      </c>
      <c r="H17" s="7" t="inlineStr">
        <is>
          <t>Not Started</t>
        </is>
      </c>
      <c r="I17" s="8" t="inlineStr"/>
      <c r="J17" s="7" t="b">
        <v>1</v>
      </c>
    </row>
    <row r="18">
      <c r="A18" s="7" t="inlineStr"/>
      <c r="B18" t="inlineStr">
        <is>
          <t>Financial</t>
        </is>
      </c>
      <c r="C18" t="inlineStr">
        <is>
          <t>Burn Rate Monitor</t>
        </is>
      </c>
      <c r="D18" s="8" t="inlineStr">
        <is>
          <t>Tracks spending velocity daily, alerts on budget risks, calculates runway.</t>
        </is>
      </c>
      <c r="E18" s="7" t="inlineStr">
        <is>
          <t>1 hour</t>
        </is>
      </c>
      <c r="F18" s="7" t="inlineStr">
        <is>
          <t>HIGH</t>
        </is>
      </c>
      <c r="G18" s="7" t="inlineStr">
        <is>
          <t>Low</t>
        </is>
      </c>
      <c r="H18" s="7" t="inlineStr">
        <is>
          <t>Not Started</t>
        </is>
      </c>
      <c r="I18" s="8" t="inlineStr"/>
      <c r="J18" s="7" t="b">
        <v>1</v>
      </c>
    </row>
    <row r="19">
      <c r="A19" s="7" t="inlineStr"/>
      <c r="B19" t="inlineStr">
        <is>
          <t>Regulatory</t>
        </is>
      </c>
      <c r="C19" t="inlineStr">
        <is>
          <t>Risk Monitor</t>
        </is>
      </c>
      <c r="D19" s="8" t="inlineStr">
        <is>
          <t>Flags compliance risks, research ethics issues, safety concerns, IP infringement risks.</t>
        </is>
      </c>
      <c r="E19" s="7" t="inlineStr">
        <is>
          <t>1 hour</t>
        </is>
      </c>
      <c r="F19" s="7" t="inlineStr">
        <is>
          <t>HIGH</t>
        </is>
      </c>
      <c r="G19" s="7" t="inlineStr">
        <is>
          <t>Medium</t>
        </is>
      </c>
      <c r="H19" s="7" t="inlineStr">
        <is>
          <t>Not Started</t>
        </is>
      </c>
      <c r="I19" s="8" t="inlineStr"/>
      <c r="J19" s="7" t="b">
        <v>1</v>
      </c>
    </row>
    <row r="20">
      <c r="A20" s="7" t="inlineStr"/>
      <c r="B20" t="inlineStr">
        <is>
          <t>Personal</t>
        </is>
      </c>
      <c r="C20" t="inlineStr">
        <is>
          <t>Decision Intelligence</t>
        </is>
      </c>
      <c r="D20" s="8" t="inlineStr">
        <is>
          <t>Summarizes complex issues with pros/cons, risk assessment, data-driven recommendations.</t>
        </is>
      </c>
      <c r="E20" s="7" t="inlineStr">
        <is>
          <t>3 hours</t>
        </is>
      </c>
      <c r="F20" s="7" t="inlineStr">
        <is>
          <t>HIGH</t>
        </is>
      </c>
      <c r="G20" s="7" t="inlineStr">
        <is>
          <t>High</t>
        </is>
      </c>
      <c r="H20" s="7" t="inlineStr">
        <is>
          <t>Not Started</t>
        </is>
      </c>
      <c r="I20" s="8" t="inlineStr"/>
      <c r="J20" s="7" t="b">
        <v>1</v>
      </c>
    </row>
    <row r="21">
      <c r="A21" s="7" t="inlineStr"/>
      <c r="B21" t="inlineStr">
        <is>
          <t>Personal</t>
        </is>
      </c>
      <c r="C21" t="inlineStr">
        <is>
          <t>Reading Digest Agent</t>
        </is>
      </c>
      <c r="D21" s="8" t="inlineStr">
        <is>
          <t>Curates must-read papers, industry news, competitor updates into 10-minute daily digest.</t>
        </is>
      </c>
      <c r="E21" s="7" t="inlineStr">
        <is>
          <t>5 hours</t>
        </is>
      </c>
      <c r="F21" s="7" t="inlineStr">
        <is>
          <t>HIGH</t>
        </is>
      </c>
      <c r="G21" s="7" t="inlineStr">
        <is>
          <t>Medium</t>
        </is>
      </c>
      <c r="H21" s="7" t="inlineStr">
        <is>
          <t>Not Started</t>
        </is>
      </c>
      <c r="I21" s="8" t="inlineStr"/>
      <c r="J21" s="7" t="b">
        <v>1</v>
      </c>
    </row>
    <row r="22">
      <c r="A22" s="7" t="inlineStr"/>
      <c r="B22" t="inlineStr">
        <is>
          <t>Personal</t>
        </is>
      </c>
      <c r="C22" t="inlineStr">
        <is>
          <t>Calendar Optimizer</t>
        </is>
      </c>
      <c r="D22" s="8" t="inlineStr">
        <is>
          <t>Suggests meeting consolidation, blocks focus time, identifies unnecessary meetings.</t>
        </is>
      </c>
      <c r="E22" s="7" t="inlineStr">
        <is>
          <t>2 hours</t>
        </is>
      </c>
      <c r="F22" s="7" t="inlineStr">
        <is>
          <t>MEDIUM</t>
        </is>
      </c>
      <c r="G22" s="7" t="inlineStr">
        <is>
          <t>Low</t>
        </is>
      </c>
      <c r="H22" s="7" t="inlineStr">
        <is>
          <t>Not Started</t>
        </is>
      </c>
      <c r="I22" s="8" t="inlineStr"/>
      <c r="J22" s="7" t="b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15" customWidth="1" min="4" max="4"/>
    <col width="15" customWidth="1" min="5" max="5"/>
    <col width="28" customWidth="1" min="6" max="6"/>
    <col width="15" customWidth="1" min="7" max="7"/>
    <col width="15" customWidth="1" min="8" max="8"/>
    <col width="20" customWidth="1" min="9" max="9"/>
  </cols>
  <sheetData>
    <row r="1">
      <c r="A1" s="19" t="inlineStr">
        <is>
          <t>🚀 AGENT BUILD ROADMAP</t>
        </is>
      </c>
    </row>
    <row r="3">
      <c r="A3" s="20" t="inlineStr">
        <is>
          <t>Phase</t>
        </is>
      </c>
      <c r="B3" s="20" t="inlineStr">
        <is>
          <t>Agent Name</t>
        </is>
      </c>
      <c r="C3" s="20" t="inlineStr">
        <is>
          <t>Priority Score</t>
        </is>
      </c>
      <c r="D3" s="20" t="inlineStr">
        <is>
          <t>Time Saved</t>
        </is>
      </c>
      <c r="E3" s="20" t="inlineStr">
        <is>
          <t>Build Time</t>
        </is>
      </c>
      <c r="F3" s="20" t="inlineStr">
        <is>
          <t>Dependencies</t>
        </is>
      </c>
      <c r="G3" s="20" t="inlineStr">
        <is>
          <t>Start Date</t>
        </is>
      </c>
      <c r="H3" s="20" t="inlineStr">
        <is>
          <t>Launch Date</t>
        </is>
      </c>
      <c r="I3" s="20" t="inlineStr">
        <is>
          <t>Owner</t>
        </is>
      </c>
    </row>
    <row r="4">
      <c r="A4" s="21" t="inlineStr">
        <is>
          <t>PHASE 1: FOUNDATIONS (Weeks 1-4)
Quick wins with immediate impact</t>
        </is>
      </c>
    </row>
    <row r="10">
      <c r="A10" s="22" t="inlineStr">
        <is>
          <t>PHASE 2: INTELLIGENCE (Weeks 5-12)
Strategic and analytical agents</t>
        </is>
      </c>
    </row>
    <row r="16">
      <c r="A16" s="23" t="inlineStr">
        <is>
          <t>PHASE 3: AUTOMATION (Weeks 13-24)
Process optimization agents</t>
        </is>
      </c>
    </row>
  </sheetData>
  <mergeCells count="4">
    <mergeCell ref="A1:I1"/>
    <mergeCell ref="A4:I4"/>
    <mergeCell ref="A16:I16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2025-11-12T14:56:31Z</dcterms:created>
  <dcterms:modified xsi:type="dcterms:W3CDTF">2025-11-12T14:56:31Z</dcterms:modified>
</cp:coreProperties>
</file>